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Reconciliation" sheetId="1" state="visible" r:id="rId3"/>
    <sheet name="Accounts" sheetId="2" state="visible" r:id="rId4"/>
    <sheet name="Transaction Log" sheetId="3" state="visible" r:id="rId5"/>
    <sheet name="External Bank Import" sheetId="4" state="visible" r:id="rId6"/>
    <sheet name="Loan Tracking" sheetId="5" state="visible" r:id="rId7"/>
    <sheet name="Balance Equations" sheetId="6" state="visible" r:id="rId8"/>
    <sheet name="Exception Handling" sheetId="7" state="visible" r:id="rId9"/>
    <sheet name="Audit Trail Requiremen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<sst xmlns="http://schemas.openxmlformats.org/spreadsheetml/2006/main" count="193" uniqueCount="159">
  <si>
    <t xml:space="preserve">DAILY RECONCILIATION CHECKLIST</t>
  </si>
  <si>
    <t xml:space="preserve">Date: 2026-02-15</t>
  </si>
  <si>
    <t xml:space="preserve">Check #</t>
  </si>
  <si>
    <t xml:space="preserve">Reconciliation Item</t>
  </si>
  <si>
    <t xml:space="preserve">Formula/Check</t>
  </si>
  <si>
    <t xml:space="preserve">Expected Result</t>
  </si>
  <si>
    <t xml:space="preserve">Actual Result</t>
  </si>
  <si>
    <t xml:space="preserve">Variance</t>
  </si>
  <si>
    <t xml:space="preserve">Status</t>
  </si>
  <si>
    <t xml:space="preserve">Notes</t>
  </si>
  <si>
    <t xml:space="preserve">1</t>
  </si>
  <si>
    <t xml:space="preserve">Master Bank Account Balance</t>
  </si>
  <si>
    <t xml:space="preserve">Sum of external bank accounts</t>
  </si>
  <si>
    <t xml:space="preserve">2</t>
  </si>
  <si>
    <t xml:space="preserve">User Bank Accounts Total</t>
  </si>
  <si>
    <t xml:space="preserve">Must equal distributed funds from Master Bank</t>
  </si>
  <si>
    <t xml:space="preserve">3</t>
  </si>
  <si>
    <t xml:space="preserve">Master Fund Account Balance</t>
  </si>
  <si>
    <t xml:space="preserve">Sum of User Fund Accounts - Outstanding Loans</t>
  </si>
  <si>
    <t xml:space="preserve">4</t>
  </si>
  <si>
    <t xml:space="preserve">User Fund Accounts Total</t>
  </si>
  <si>
    <t xml:space="preserve">Sum of all user contributions + repayments</t>
  </si>
  <si>
    <t xml:space="preserve">5</t>
  </si>
  <si>
    <t xml:space="preserve">Total Outstanding Loans</t>
  </si>
  <si>
    <t xml:space="preserve">Sum of all active user loans</t>
  </si>
  <si>
    <t xml:space="preserve">6</t>
  </si>
  <si>
    <t xml:space="preserve">Fund Balance Check</t>
  </si>
  <si>
    <t xml:space="preserve">Master Fund = User Funds - Loans</t>
  </si>
  <si>
    <t xml:space="preserve">7</t>
  </si>
  <si>
    <t xml:space="preserve">Cash Flow Balance</t>
  </si>
  <si>
    <t xml:space="preserve">Master Bank = User Banks + Master Fund</t>
  </si>
  <si>
    <t xml:space="preserve">ACCOUNT BALANCES &amp; TRACKING</t>
  </si>
  <si>
    <t xml:space="preserve">MASTER ACCOUNTS</t>
  </si>
  <si>
    <t xml:space="preserve">Master Bank Account</t>
  </si>
  <si>
    <t xml:space="preserve">Master Fund Account</t>
  </si>
  <si>
    <t xml:space="preserve">USER ACCOUNTS</t>
  </si>
  <si>
    <t xml:space="preserve">User ID</t>
  </si>
  <si>
    <t xml:space="preserve">User Bank Account</t>
  </si>
  <si>
    <t xml:space="preserve">User Fund Account</t>
  </si>
  <si>
    <t xml:space="preserve">Outstanding Loans</t>
  </si>
  <si>
    <t xml:space="preserve">Available to Borrow</t>
  </si>
  <si>
    <t xml:space="preserve">USER001</t>
  </si>
  <si>
    <t xml:space="preserve">USER002</t>
  </si>
  <si>
    <t xml:space="preserve">USER003</t>
  </si>
  <si>
    <t xml:space="preserve">USER004</t>
  </si>
  <si>
    <t xml:space="preserve">USER005</t>
  </si>
  <si>
    <t xml:space="preserve">USER006</t>
  </si>
  <si>
    <t xml:space="preserve">USER007</t>
  </si>
  <si>
    <t xml:space="preserve">USER008</t>
  </si>
  <si>
    <t xml:space="preserve">USER009</t>
  </si>
  <si>
    <t xml:space="preserve">USER010</t>
  </si>
  <si>
    <t xml:space="preserve">TRANSACTION LOG</t>
  </si>
  <si>
    <t xml:space="preserve">Date</t>
  </si>
  <si>
    <t xml:space="preserve">Time</t>
  </si>
  <si>
    <t xml:space="preserve">Transaction ID</t>
  </si>
  <si>
    <t xml:space="preserve">Type</t>
  </si>
  <si>
    <t xml:space="preserve">From Account</t>
  </si>
  <si>
    <t xml:space="preserve">To Account</t>
  </si>
  <si>
    <t xml:space="preserve">Amount</t>
  </si>
  <si>
    <t xml:space="preserve">Reference</t>
  </si>
  <si>
    <t xml:space="preserve">EXTERNAL BANK ACCOUNT IMPORTS</t>
  </si>
  <si>
    <t xml:space="preserve">Import tracking and duplicate detection</t>
  </si>
  <si>
    <t xml:space="preserve">Import Date</t>
  </si>
  <si>
    <t xml:space="preserve">Bank Account</t>
  </si>
  <si>
    <t xml:space="preserve">Transaction Date</t>
  </si>
  <si>
    <t xml:space="preserve">External Ref ID</t>
  </si>
  <si>
    <t xml:space="preserve">Description</t>
  </si>
  <si>
    <t xml:space="preserve">Imported to Master</t>
  </si>
  <si>
    <t xml:space="preserve">Duplicate Flag</t>
  </si>
  <si>
    <t xml:space="preserve">USER LOAN ACCOUNTS</t>
  </si>
  <si>
    <t xml:space="preserve">Loan ID</t>
  </si>
  <si>
    <t xml:space="preserve">Origination Date</t>
  </si>
  <si>
    <t xml:space="preserve">Original Amount</t>
  </si>
  <si>
    <t xml:space="preserve">Interest Rate</t>
  </si>
  <si>
    <t xml:space="preserve">Term (months)</t>
  </si>
  <si>
    <t xml:space="preserve">Monthly Payment</t>
  </si>
  <si>
    <t xml:space="preserve">Total Paid</t>
  </si>
  <si>
    <t xml:space="preserve">Outstanding Balance</t>
  </si>
  <si>
    <t xml:space="preserve">Next Payment Date</t>
  </si>
  <si>
    <t xml:space="preserve">CRITICAL BALANCE EQUATIONS</t>
  </si>
  <si>
    <t xml:space="preserve">These mathematical relationships MUST always hold true:</t>
  </si>
  <si>
    <t xml:space="preserve">Equation 1</t>
  </si>
  <si>
    <t xml:space="preserve">=</t>
  </si>
  <si>
    <t xml:space="preserve">Sum of External Bank Accounts</t>
  </si>
  <si>
    <t xml:space="preserve">See External Bank Import sheet</t>
  </si>
  <si>
    <t xml:space="preserve">Equation 2</t>
  </si>
  <si>
    <t xml:space="preserve">Sum of User Bank Accounts + Master Fund Account</t>
  </si>
  <si>
    <t xml:space="preserve">Equation 3</t>
  </si>
  <si>
    <t xml:space="preserve">Sum of User Fund Accounts - Total Outstanding Loans</t>
  </si>
  <si>
    <t xml:space="preserve">Equation 4</t>
  </si>
  <si>
    <t xml:space="preserve">User Fund Account (each)</t>
  </si>
  <si>
    <t xml:space="preserve">Contributions + Loan Repayments (cumulative)</t>
  </si>
  <si>
    <t xml:space="preserve">Track in Transaction Log</t>
  </si>
  <si>
    <t xml:space="preserve">Equation 5</t>
  </si>
  <si>
    <t xml:space="preserve">Outstanding Loan Balance</t>
  </si>
  <si>
    <t xml:space="preserve">Original Amount - Total Repayments</t>
  </si>
  <si>
    <t xml:space="preserve">Track in Loan Tracking sheet</t>
  </si>
  <si>
    <t xml:space="preserve">EXCEPTION HANDLING WORKFLOW</t>
  </si>
  <si>
    <t xml:space="preserve">Exception Type</t>
  </si>
  <si>
    <t xml:space="preserve">Detection Method</t>
  </si>
  <si>
    <t xml:space="preserve">Severity</t>
  </si>
  <si>
    <t xml:space="preserve">Resolution Steps</t>
  </si>
  <si>
    <t xml:space="preserve">Responsible Party</t>
  </si>
  <si>
    <t xml:space="preserve">SLA (hours)</t>
  </si>
  <si>
    <t xml:space="preserve">Duplicate Import</t>
  </si>
  <si>
    <t xml:space="preserve">External Ref ID matches existing</t>
  </si>
  <si>
    <t xml:space="preserve">Medium</t>
  </si>
  <si>
    <t xml:space="preserve">1. Flag transaction
2. Investigate source
3. Remove duplicate
4. Document</t>
  </si>
  <si>
    <t xml:space="preserve">Accounting Team</t>
  </si>
  <si>
    <t xml:space="preserve">Balance Mismatch</t>
  </si>
  <si>
    <t xml:space="preserve">Daily reconciliation formulas</t>
  </si>
  <si>
    <t xml:space="preserve">High</t>
  </si>
  <si>
    <t xml:space="preserve">1. Identify variance source
2. Review transaction log
3. Trace to account
4. Correct entry
5. Re-reconcile</t>
  </si>
  <si>
    <t xml:space="preserve">Accounting Manager</t>
  </si>
  <si>
    <t xml:space="preserve">Negative Balance</t>
  </si>
  <si>
    <t xml:space="preserve">Account balance &lt; 0</t>
  </si>
  <si>
    <t xml:space="preserve">1. Halt new transactions
2. Review transaction history
3. Identify error
4. Reverse if needed
5. Restore balance</t>
  </si>
  <si>
    <t xml:space="preserve">Loan Payment Mismatch</t>
  </si>
  <si>
    <t xml:space="preserve">Payment ≠ scheduled amount</t>
  </si>
  <si>
    <t xml:space="preserve">1. Check payment record
2. Contact user
3. Apply correct amount
4. Adjust schedule if needed</t>
  </si>
  <si>
    <t xml:space="preserve">Loan Officer</t>
  </si>
  <si>
    <t xml:space="preserve">24</t>
  </si>
  <si>
    <t xml:space="preserve">Missing Transaction</t>
  </si>
  <si>
    <t xml:space="preserve">Bank statement vs Master Bank</t>
  </si>
  <si>
    <t xml:space="preserve">1. Compare statements
2. Locate transaction
3. Import/create entry
4. Verify reconciliation</t>
  </si>
  <si>
    <t xml:space="preserve">Fund Account Negative</t>
  </si>
  <si>
    <t xml:space="preserve">User Fund Account &lt; 0</t>
  </si>
  <si>
    <t xml:space="preserve">Critical</t>
  </si>
  <si>
    <t xml:space="preserve">1. Freeze account
2. Review all transactions
3. Identify cause
4. Reverse error
5. Notify user</t>
  </si>
  <si>
    <t xml:space="preserve">AUDIT TRAIL REQUIREMENTS</t>
  </si>
  <si>
    <t xml:space="preserve">Required documentation for each transaction type:</t>
  </si>
  <si>
    <t xml:space="preserve">Transaction Type</t>
  </si>
  <si>
    <t xml:space="preserve">Required Fields</t>
  </si>
  <si>
    <t xml:space="preserve">Supporting Documentation</t>
  </si>
  <si>
    <t xml:space="preserve">Retention Period</t>
  </si>
  <si>
    <t xml:space="preserve">Review Frequency</t>
  </si>
  <si>
    <t xml:space="preserve">External Bank Import</t>
  </si>
  <si>
    <t xml:space="preserve">Date, Time, Bank Account, Amount, External Ref ID, Description</t>
  </si>
  <si>
    <t xml:space="preserve">Bank statement, Import file, Duplicate check log</t>
  </si>
  <si>
    <t xml:space="preserve">7 years</t>
  </si>
  <si>
    <t xml:space="preserve">Daily</t>
  </si>
  <si>
    <t xml:space="preserve">Master Bank → User Bank</t>
  </si>
  <si>
    <t xml:space="preserve">Date, Time, Amount, User ID, Distribution basis, Approval</t>
  </si>
  <si>
    <t xml:space="preserve">Distribution schedule, Manager approval</t>
  </si>
  <si>
    <t xml:space="preserve">Monthly</t>
  </si>
  <si>
    <t xml:space="preserve">User Bank → User Fund</t>
  </si>
  <si>
    <t xml:space="preserve">Date, Time, Amount, User ID, Transaction type (contribution/repayment), Reference</t>
  </si>
  <si>
    <t xml:space="preserve">Payment receipt, User confirmation</t>
  </si>
  <si>
    <t xml:space="preserve">Loan Disbursement</t>
  </si>
  <si>
    <t xml:space="preserve">Date, Time, Loan ID, User ID, Amount, Terms, Approval</t>
  </si>
  <si>
    <t xml:space="preserve">Loan agreement, Credit approval, User acknowledgment</t>
  </si>
  <si>
    <t xml:space="preserve">7 years + loan term</t>
  </si>
  <si>
    <t xml:space="preserve">Per transaction</t>
  </si>
  <si>
    <t xml:space="preserve">Loan Repayment</t>
  </si>
  <si>
    <t xml:space="preserve">Date, Time, Loan ID, User ID, Amount, Principal, Interest, Balance</t>
  </si>
  <si>
    <t xml:space="preserve">Payment receipt, Amortization schedule</t>
  </si>
  <si>
    <t xml:space="preserve">Account Adjustments</t>
  </si>
  <si>
    <t xml:space="preserve">Date, Time, Account, Amount, Reason, Approver, Before/After balance</t>
  </si>
  <si>
    <t xml:space="preserve">Adjustment memo, Manager approval, Supporting docs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</si>
</sst>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sz val="11"/>
      <color rgb="FF00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CC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25"/>
    <col collapsed="false" customWidth="true" hidden="false" outlineLevel="0" max="5" min="4" style="1" width="15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3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1" t="s">
        <v>1</v>
      </c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true" outlineLevel="0" collapsed="false">
      <c r="A5" s="1" t="s">
        <v>10</v>
      </c>
      <c r="B5" s="1" t="s">
        <v>11</v>
      </c>
      <c r="C5" s="1" t="n">
        <f aca="false">Accounts!B2</f>
        <v>0</v>
      </c>
      <c r="F5" s="1" t="n">
        <f aca="false">E5-D5</f>
        <v>0</v>
      </c>
      <c r="G5" s="4" t="str">
        <f aca="false">IF(ABS(F5)&lt;0.01,"PASS","FAIL")</f>
        <v>PASS</v>
      </c>
      <c r="H5" s="1" t="s">
        <v>12</v>
      </c>
    </row>
    <row r="6" customFormat="false" ht="15" hidden="false" customHeight="true" outlineLevel="0" collapsed="false">
      <c r="A6" s="1" t="s">
        <v>13</v>
      </c>
      <c r="B6" s="1" t="s">
        <v>14</v>
      </c>
      <c r="C6" s="1" t="n">
        <f aca="false">SUM(Accounts!B4:B20)</f>
        <v>0</v>
      </c>
      <c r="F6" s="1" t="n">
        <f aca="false">E6-D6</f>
        <v>0</v>
      </c>
      <c r="G6" s="4" t="str">
        <f aca="false">IF(ABS(F6)&lt;0.01,"PASS","FAIL")</f>
        <v>PASS</v>
      </c>
      <c r="H6" s="1" t="s">
        <v>15</v>
      </c>
    </row>
    <row r="7" customFormat="false" ht="15" hidden="false" customHeight="true" outlineLevel="0" collapsed="false">
      <c r="A7" s="1" t="s">
        <v>16</v>
      </c>
      <c r="B7" s="1" t="s">
        <v>17</v>
      </c>
      <c r="C7" s="1" t="n">
        <f aca="false">Accounts!B3</f>
        <v>0</v>
      </c>
      <c r="F7" s="1" t="n">
        <f aca="false">E7-D7</f>
        <v>0</v>
      </c>
      <c r="G7" s="4" t="str">
        <f aca="false">IF(ABS(F7)&lt;0.01,"PASS","FAIL")</f>
        <v>PASS</v>
      </c>
      <c r="H7" s="1" t="s">
        <v>18</v>
      </c>
    </row>
    <row r="8" customFormat="false" ht="15" hidden="false" customHeight="true" outlineLevel="0" collapsed="false">
      <c r="A8" s="1" t="s">
        <v>19</v>
      </c>
      <c r="B8" s="1" t="s">
        <v>20</v>
      </c>
      <c r="C8" s="1" t="n">
        <f aca="false">SUM(Accounts!C4:C20)</f>
        <v>0</v>
      </c>
      <c r="F8" s="1" t="n">
        <f aca="false">E8-D8</f>
        <v>0</v>
      </c>
      <c r="G8" s="4" t="str">
        <f aca="false">IF(ABS(F8)&lt;0.01,"PASS","FAIL")</f>
        <v>PASS</v>
      </c>
      <c r="H8" s="1" t="s">
        <v>21</v>
      </c>
    </row>
    <row r="9" customFormat="false" ht="15" hidden="false" customHeight="true" outlineLevel="0" collapsed="false">
      <c r="A9" s="1" t="s">
        <v>22</v>
      </c>
      <c r="B9" s="1" t="s">
        <v>23</v>
      </c>
      <c r="C9" s="1" t="n">
        <f aca="false">SUM(Accounts!D4:D20)</f>
        <v>0</v>
      </c>
      <c r="F9" s="1" t="n">
        <f aca="false">E9-D9</f>
        <v>0</v>
      </c>
      <c r="G9" s="4" t="str">
        <f aca="false">IF(ABS(F9)&lt;0.01,"PASS","FAIL")</f>
        <v>PASS</v>
      </c>
      <c r="H9" s="1" t="s">
        <v>24</v>
      </c>
    </row>
    <row r="10" customFormat="false" ht="15" hidden="false" customHeight="true" outlineLevel="0" collapsed="false">
      <c r="A10" s="1" t="s">
        <v>25</v>
      </c>
      <c r="B10" s="1" t="s">
        <v>26</v>
      </c>
      <c r="C10" s="1" t="n">
        <f aca="false">D7</f>
        <v>0</v>
      </c>
      <c r="D10" s="1" t="n">
        <f aca="false">D8-D9</f>
        <v>0</v>
      </c>
      <c r="F10" s="1" t="n">
        <f aca="false">E10-D10</f>
        <v>0</v>
      </c>
      <c r="G10" s="4" t="str">
        <f aca="false">IF(ABS(F10)&lt;0.01,"PASS","FAIL")</f>
        <v>PASS</v>
      </c>
      <c r="H10" s="1" t="s">
        <v>27</v>
      </c>
    </row>
    <row r="11" customFormat="false" ht="15" hidden="false" customHeight="true" outlineLevel="0" collapsed="false">
      <c r="A11" s="1" t="s">
        <v>28</v>
      </c>
      <c r="B11" s="1" t="s">
        <v>29</v>
      </c>
      <c r="C11" s="1" t="n">
        <f aca="false">D5</f>
        <v>0</v>
      </c>
      <c r="D11" s="1" t="n">
        <f aca="false">D6+D7</f>
        <v>0</v>
      </c>
      <c r="F11" s="1" t="n">
        <f aca="false">E11-D11</f>
        <v>0</v>
      </c>
      <c r="G11" s="4" t="str">
        <f aca="false">IF(ABS(F11)&lt;0.01,"PASS","FAIL")</f>
        <v>PASS</v>
      </c>
      <c r="H11" s="1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20"/>
    <col collapsed="false" customWidth="true" hidden="false" outlineLevel="0" max="5" min="4" style="1" width="18"/>
  </cols>
  <sheetData>
    <row r="1" customFormat="false" ht="17.25" hidden="false" customHeight="true" outlineLevel="0" collapsed="false">
      <c r="A1" s="2" t="s">
        <v>31</v>
      </c>
    </row>
    <row r="3" customFormat="false" ht="15" hidden="false" customHeight="true" outlineLevel="0" collapsed="false">
      <c r="A3" s="4" t="s">
        <v>32</v>
      </c>
    </row>
    <row r="4" customFormat="false" ht="15" hidden="false" customHeight="true" outlineLevel="0" collapsed="false">
      <c r="A4" s="1" t="s">
        <v>33</v>
      </c>
      <c r="B4" s="5" t="n">
        <v>0</v>
      </c>
    </row>
    <row r="5" customFormat="false" ht="15" hidden="false" customHeight="true" outlineLevel="0" collapsed="false">
      <c r="A5" s="1" t="s">
        <v>34</v>
      </c>
      <c r="B5" s="5" t="n">
        <v>0</v>
      </c>
    </row>
    <row r="7" customFormat="false" ht="15" hidden="false" customHeight="true" outlineLevel="0" collapsed="false">
      <c r="A7" s="4" t="s">
        <v>35</v>
      </c>
    </row>
    <row r="8" customFormat="false" ht="15" hidden="false" customHeight="true" outlineLevel="0" collapsed="false">
      <c r="A8" s="6" t="s">
        <v>36</v>
      </c>
      <c r="B8" s="6" t="s">
        <v>37</v>
      </c>
      <c r="C8" s="6" t="s">
        <v>38</v>
      </c>
      <c r="D8" s="6" t="s">
        <v>39</v>
      </c>
      <c r="E8" s="6" t="s">
        <v>40</v>
      </c>
    </row>
    <row r="9" customFormat="false" ht="15" hidden="false" customHeight="true" outlineLevel="0" collapsed="false">
      <c r="A9" s="1" t="s">
        <v>41</v>
      </c>
      <c r="B9" s="5" t="n">
        <v>0</v>
      </c>
      <c r="C9" s="5" t="n">
        <v>0</v>
      </c>
      <c r="D9" s="5" t="n">
        <v>0</v>
      </c>
      <c r="E9" s="1" t="n">
        <f aca="false">C9-D9</f>
        <v>0</v>
      </c>
    </row>
    <row r="10" customFormat="false" ht="15" hidden="false" customHeight="true" outlineLevel="0" collapsed="false">
      <c r="A10" s="1" t="s">
        <v>42</v>
      </c>
      <c r="B10" s="5" t="n">
        <v>0</v>
      </c>
      <c r="C10" s="5" t="n">
        <v>0</v>
      </c>
      <c r="D10" s="5" t="n">
        <v>0</v>
      </c>
      <c r="E10" s="1" t="n">
        <f aca="false">C10-D10</f>
        <v>0</v>
      </c>
    </row>
    <row r="11" customFormat="false" ht="15" hidden="false" customHeight="true" outlineLevel="0" collapsed="false">
      <c r="A11" s="1" t="s">
        <v>43</v>
      </c>
      <c r="B11" s="5" t="n">
        <v>0</v>
      </c>
      <c r="C11" s="5" t="n">
        <v>0</v>
      </c>
      <c r="D11" s="5" t="n">
        <v>0</v>
      </c>
      <c r="E11" s="1" t="n">
        <f aca="false">C11-D11</f>
        <v>0</v>
      </c>
    </row>
    <row r="12" customFormat="false" ht="15" hidden="false" customHeight="true" outlineLevel="0" collapsed="false">
      <c r="A12" s="1" t="s">
        <v>44</v>
      </c>
      <c r="B12" s="5" t="n">
        <v>0</v>
      </c>
      <c r="C12" s="5" t="n">
        <v>0</v>
      </c>
      <c r="D12" s="5" t="n">
        <v>0</v>
      </c>
      <c r="E12" s="1" t="n">
        <f aca="false">C12-D12</f>
        <v>0</v>
      </c>
    </row>
    <row r="13" customFormat="false" ht="15" hidden="false" customHeight="true" outlineLevel="0" collapsed="false">
      <c r="A13" s="1" t="s">
        <v>45</v>
      </c>
      <c r="B13" s="5" t="n">
        <v>0</v>
      </c>
      <c r="C13" s="5" t="n">
        <v>0</v>
      </c>
      <c r="D13" s="5" t="n">
        <v>0</v>
      </c>
      <c r="E13" s="1" t="n">
        <f aca="false">C13-D13</f>
        <v>0</v>
      </c>
    </row>
    <row r="14" customFormat="false" ht="15" hidden="false" customHeight="true" outlineLevel="0" collapsed="false">
      <c r="A14" s="1" t="s">
        <v>46</v>
      </c>
      <c r="B14" s="5" t="n">
        <v>0</v>
      </c>
      <c r="C14" s="5" t="n">
        <v>0</v>
      </c>
      <c r="D14" s="5" t="n">
        <v>0</v>
      </c>
      <c r="E14" s="1" t="n">
        <f aca="false">C14-D14</f>
        <v>0</v>
      </c>
    </row>
    <row r="15" customFormat="false" ht="15" hidden="false" customHeight="true" outlineLevel="0" collapsed="false">
      <c r="A15" s="1" t="s">
        <v>47</v>
      </c>
      <c r="B15" s="5" t="n">
        <v>0</v>
      </c>
      <c r="C15" s="5" t="n">
        <v>0</v>
      </c>
      <c r="D15" s="5" t="n">
        <v>0</v>
      </c>
      <c r="E15" s="1" t="n">
        <f aca="false">C15-D15</f>
        <v>0</v>
      </c>
    </row>
    <row r="16" customFormat="false" ht="15" hidden="false" customHeight="true" outlineLevel="0" collapsed="false">
      <c r="A16" s="1" t="s">
        <v>48</v>
      </c>
      <c r="B16" s="5" t="n">
        <v>0</v>
      </c>
      <c r="C16" s="5" t="n">
        <v>0</v>
      </c>
      <c r="D16" s="5" t="n">
        <v>0</v>
      </c>
      <c r="E16" s="1" t="n">
        <f aca="false">C16-D16</f>
        <v>0</v>
      </c>
    </row>
    <row r="17" customFormat="false" ht="15" hidden="false" customHeight="true" outlineLevel="0" collapsed="false">
      <c r="A17" s="1" t="s">
        <v>49</v>
      </c>
      <c r="B17" s="5" t="n">
        <v>0</v>
      </c>
      <c r="C17" s="5" t="n">
        <v>0</v>
      </c>
      <c r="D17" s="5" t="n">
        <v>0</v>
      </c>
      <c r="E17" s="1" t="n">
        <f aca="false">C17-D17</f>
        <v>0</v>
      </c>
    </row>
    <row r="18" customFormat="false" ht="15" hidden="false" customHeight="true" outlineLevel="0" collapsed="false">
      <c r="A18" s="1" t="s">
        <v>50</v>
      </c>
      <c r="B18" s="5" t="n">
        <v>0</v>
      </c>
      <c r="C18" s="5" t="n">
        <v>0</v>
      </c>
      <c r="D18" s="5" t="n">
        <v>0</v>
      </c>
      <c r="E18" s="1" t="n">
        <f aca="false">C18-D18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5"/>
    <col collapsed="false" customWidth="true" hidden="false" outlineLevel="0" max="6" min="4" style="1" width="20"/>
    <col collapsed="false" customWidth="true" hidden="false" outlineLevel="0" max="8" min="7" style="1" width="12"/>
    <col collapsed="false" customWidth="true" hidden="false" outlineLevel="0" max="9" min="9" style="1" width="15"/>
    <col collapsed="false" customWidth="true" hidden="false" outlineLevel="0" max="10" min="10" style="1" width="10"/>
    <col collapsed="false" customWidth="true" hidden="false" outlineLevel="0" max="11" min="11" style="1" width="30"/>
  </cols>
  <sheetData>
    <row r="1" customFormat="false" ht="17.25" hidden="false" customHeight="true" outlineLevel="0" collapsed="false">
      <c r="A1" s="2" t="s">
        <v>51</v>
      </c>
    </row>
    <row r="3" customFormat="false" ht="15" hidden="false" customHeight="true" outlineLevel="0" collapsed="false">
      <c r="A3" s="6" t="s">
        <v>52</v>
      </c>
      <c r="B3" s="6" t="s">
        <v>53</v>
      </c>
      <c r="C3" s="6" t="s">
        <v>54</v>
      </c>
      <c r="D3" s="6" t="s">
        <v>55</v>
      </c>
      <c r="E3" s="6" t="s">
        <v>56</v>
      </c>
      <c r="F3" s="6" t="s">
        <v>57</v>
      </c>
      <c r="G3" s="6" t="s">
        <v>58</v>
      </c>
      <c r="H3" s="6" t="s">
        <v>36</v>
      </c>
      <c r="I3" s="6" t="s">
        <v>59</v>
      </c>
      <c r="J3" s="6" t="s">
        <v>8</v>
      </c>
      <c r="K3" s="6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5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25"/>
    <col collapsed="false" customWidth="true" hidden="false" outlineLevel="0" max="7" min="7" style="1" width="15"/>
    <col collapsed="false" customWidth="true" hidden="false" outlineLevel="0" max="8" min="8" style="1" width="13"/>
    <col collapsed="false" customWidth="true" hidden="false" outlineLevel="0" max="9" min="9" style="1" width="30"/>
  </cols>
  <sheetData>
    <row r="1" customFormat="false" ht="17.25" hidden="false" customHeight="true" outlineLevel="0" collapsed="false">
      <c r="A1" s="2" t="s">
        <v>60</v>
      </c>
    </row>
    <row r="3" customFormat="false" ht="15" hidden="false" customHeight="true" outlineLevel="0" collapsed="false">
      <c r="A3" s="7" t="s">
        <v>61</v>
      </c>
    </row>
    <row r="5" customFormat="false" ht="15" hidden="false" customHeight="true" outlineLevel="0" collapsed="false">
      <c r="A5" s="6" t="s">
        <v>62</v>
      </c>
      <c r="B5" s="6" t="s">
        <v>63</v>
      </c>
      <c r="C5" s="6" t="s">
        <v>64</v>
      </c>
      <c r="D5" s="6" t="s">
        <v>65</v>
      </c>
      <c r="E5" s="6" t="s">
        <v>58</v>
      </c>
      <c r="F5" s="6" t="s">
        <v>66</v>
      </c>
      <c r="G5" s="6" t="s">
        <v>67</v>
      </c>
      <c r="H5" s="6" t="s">
        <v>68</v>
      </c>
      <c r="I5" s="6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4" min="3" style="1" width="15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15"/>
  </cols>
  <sheetData>
    <row r="1" customFormat="false" ht="17.25" hidden="false" customHeight="true" outlineLevel="0" collapsed="false">
      <c r="A1" s="2" t="s">
        <v>69</v>
      </c>
    </row>
    <row r="3" customFormat="false" ht="15" hidden="false" customHeight="true" outlineLevel="0" collapsed="false">
      <c r="A3" s="6" t="s">
        <v>70</v>
      </c>
      <c r="B3" s="6" t="s">
        <v>36</v>
      </c>
      <c r="C3" s="6" t="s">
        <v>71</v>
      </c>
      <c r="D3" s="6" t="s">
        <v>72</v>
      </c>
      <c r="E3" s="6" t="s">
        <v>73</v>
      </c>
      <c r="F3" s="6" t="s">
        <v>74</v>
      </c>
      <c r="G3" s="6" t="s">
        <v>75</v>
      </c>
      <c r="H3" s="6" t="s">
        <v>76</v>
      </c>
      <c r="I3" s="6" t="s">
        <v>77</v>
      </c>
      <c r="J3" s="6" t="s">
        <v>8</v>
      </c>
      <c r="K3" s="6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3" min="3" style="1" width="5"/>
    <col collapsed="false" customWidth="true" hidden="false" outlineLevel="0" max="4" min="4" style="1" width="40"/>
    <col collapsed="false" customWidth="true" hidden="false" outlineLevel="0" max="5" min="5" style="1" width="20"/>
    <col collapsed="false" customWidth="true" hidden="false" outlineLevel="0" max="6" min="6" style="1" width="5"/>
    <col collapsed="false" customWidth="true" hidden="false" outlineLevel="0" max="7" min="7" style="1" width="35"/>
  </cols>
  <sheetData>
    <row r="1" customFormat="false" ht="17.25" hidden="false" customHeight="true" outlineLevel="0" collapsed="false">
      <c r="A1" s="2" t="s">
        <v>79</v>
      </c>
    </row>
    <row r="3" customFormat="false" ht="15" hidden="false" customHeight="true" outlineLevel="0" collapsed="false">
      <c r="A3" s="7" t="s">
        <v>80</v>
      </c>
    </row>
    <row r="5" customFormat="false" ht="15" hidden="false" customHeight="true" outlineLevel="0" collapsed="false">
      <c r="A5" s="4" t="s">
        <v>81</v>
      </c>
      <c r="B5" s="1" t="s">
        <v>33</v>
      </c>
      <c r="C5" s="8" t="s">
        <v>82</v>
      </c>
      <c r="D5" s="1" t="s">
        <v>83</v>
      </c>
      <c r="E5" s="8" t="n">
        <f aca="false">Accounts!B4</f>
        <v>0</v>
      </c>
      <c r="G5" s="8" t="s">
        <v>84</v>
      </c>
    </row>
    <row r="7" customFormat="false" ht="15" hidden="false" customHeight="true" outlineLevel="0" collapsed="false">
      <c r="A7" s="4" t="s">
        <v>85</v>
      </c>
      <c r="B7" s="1" t="s">
        <v>33</v>
      </c>
      <c r="C7" s="8" t="s">
        <v>82</v>
      </c>
      <c r="D7" s="1" t="s">
        <v>86</v>
      </c>
      <c r="E7" s="8" t="n">
        <f aca="false">Accounts!B4</f>
        <v>0</v>
      </c>
      <c r="F7" s="8" t="s">
        <v>82</v>
      </c>
      <c r="G7" s="8" t="n">
        <f aca="false">SUM(Accounts!B9:B18)+Accounts!B5</f>
        <v>0</v>
      </c>
    </row>
    <row r="9" customFormat="false" ht="15" hidden="false" customHeight="true" outlineLevel="0" collapsed="false">
      <c r="A9" s="4" t="s">
        <v>87</v>
      </c>
      <c r="B9" s="1" t="s">
        <v>34</v>
      </c>
      <c r="C9" s="8" t="s">
        <v>82</v>
      </c>
      <c r="D9" s="1" t="s">
        <v>88</v>
      </c>
      <c r="E9" s="8" t="n">
        <f aca="false">Accounts!B5</f>
        <v>0</v>
      </c>
      <c r="F9" s="8" t="s">
        <v>82</v>
      </c>
      <c r="G9" s="8" t="n">
        <f aca="false">SUM(Accounts!C9:C18)-SUM(Accounts!D9:D18)</f>
        <v>0</v>
      </c>
    </row>
    <row r="11" customFormat="false" ht="15" hidden="false" customHeight="true" outlineLevel="0" collapsed="false">
      <c r="A11" s="4" t="s">
        <v>89</v>
      </c>
      <c r="B11" s="1" t="s">
        <v>90</v>
      </c>
      <c r="C11" s="8" t="s">
        <v>82</v>
      </c>
      <c r="D11" s="1" t="s">
        <v>91</v>
      </c>
      <c r="G11" s="1" t="s">
        <v>92</v>
      </c>
    </row>
    <row r="13" customFormat="false" ht="15" hidden="false" customHeight="true" outlineLevel="0" collapsed="false">
      <c r="A13" s="4" t="s">
        <v>93</v>
      </c>
      <c r="B13" s="1" t="s">
        <v>94</v>
      </c>
      <c r="C13" s="8" t="s">
        <v>82</v>
      </c>
      <c r="D13" s="1" t="s">
        <v>95</v>
      </c>
      <c r="G13" s="1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5"/>
    <col collapsed="false" customWidth="true" hidden="false" outlineLevel="0" max="3" min="3" style="1" width="10"/>
    <col collapsed="false" customWidth="true" hidden="false" outlineLevel="0" max="4" min="4" style="1" width="40"/>
    <col collapsed="false" customWidth="true" hidden="false" outlineLevel="0" max="5" min="5" style="1" width="18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" t="s">
        <v>97</v>
      </c>
    </row>
    <row r="3" customFormat="false" ht="15" hidden="false" customHeight="true" outlineLevel="0" collapsed="false">
      <c r="A3" s="6" t="s">
        <v>98</v>
      </c>
      <c r="B3" s="6" t="s">
        <v>99</v>
      </c>
      <c r="C3" s="6" t="s">
        <v>100</v>
      </c>
      <c r="D3" s="6" t="s">
        <v>101</v>
      </c>
      <c r="E3" s="6" t="s">
        <v>102</v>
      </c>
      <c r="F3" s="6" t="s">
        <v>103</v>
      </c>
    </row>
    <row r="4" customFormat="false" ht="60" hidden="false" customHeight="true" outlineLevel="0" collapsed="false">
      <c r="A4" s="9" t="s">
        <v>104</v>
      </c>
      <c r="B4" s="9" t="s">
        <v>105</v>
      </c>
      <c r="C4" s="10" t="s">
        <v>106</v>
      </c>
      <c r="D4" s="9" t="s">
        <v>107</v>
      </c>
      <c r="E4" s="9" t="s">
        <v>108</v>
      </c>
      <c r="F4" s="9" t="s">
        <v>19</v>
      </c>
    </row>
    <row r="5" customFormat="false" ht="79.5" hidden="false" customHeight="true" outlineLevel="0" collapsed="false">
      <c r="A5" s="9" t="s">
        <v>109</v>
      </c>
      <c r="B5" s="9" t="s">
        <v>110</v>
      </c>
      <c r="C5" s="11" t="s">
        <v>111</v>
      </c>
      <c r="D5" s="9" t="s">
        <v>112</v>
      </c>
      <c r="E5" s="9" t="s">
        <v>113</v>
      </c>
      <c r="F5" s="9" t="s">
        <v>13</v>
      </c>
    </row>
    <row r="6" customFormat="false" ht="60" hidden="false" customHeight="true" outlineLevel="0" collapsed="false">
      <c r="A6" s="9" t="s">
        <v>114</v>
      </c>
      <c r="B6" s="9" t="s">
        <v>115</v>
      </c>
      <c r="C6" s="11" t="s">
        <v>111</v>
      </c>
      <c r="D6" s="9" t="s">
        <v>116</v>
      </c>
      <c r="E6" s="9" t="s">
        <v>113</v>
      </c>
      <c r="F6" s="9" t="s">
        <v>13</v>
      </c>
    </row>
    <row r="7" customFormat="false" ht="60" hidden="false" customHeight="true" outlineLevel="0" collapsed="false">
      <c r="A7" s="9" t="s">
        <v>117</v>
      </c>
      <c r="B7" s="9" t="s">
        <v>118</v>
      </c>
      <c r="C7" s="10" t="s">
        <v>106</v>
      </c>
      <c r="D7" s="9" t="s">
        <v>119</v>
      </c>
      <c r="E7" s="9" t="s">
        <v>120</v>
      </c>
      <c r="F7" s="9" t="s">
        <v>121</v>
      </c>
    </row>
    <row r="8" customFormat="false" ht="60" hidden="false" customHeight="true" outlineLevel="0" collapsed="false">
      <c r="A8" s="9" t="s">
        <v>122</v>
      </c>
      <c r="B8" s="9" t="s">
        <v>123</v>
      </c>
      <c r="C8" s="11" t="s">
        <v>111</v>
      </c>
      <c r="D8" s="9" t="s">
        <v>124</v>
      </c>
      <c r="E8" s="9" t="s">
        <v>108</v>
      </c>
      <c r="F8" s="9" t="s">
        <v>19</v>
      </c>
    </row>
    <row r="9" customFormat="false" ht="69.75" hidden="false" customHeight="true" outlineLevel="0" collapsed="false">
      <c r="A9" s="9" t="s">
        <v>125</v>
      </c>
      <c r="B9" s="9" t="s">
        <v>126</v>
      </c>
      <c r="C9" s="12" t="s">
        <v>127</v>
      </c>
      <c r="D9" s="9" t="s">
        <v>128</v>
      </c>
      <c r="E9" s="9" t="s">
        <v>113</v>
      </c>
      <c r="F9" s="9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40"/>
    <col collapsed="false" customWidth="true" hidden="false" outlineLevel="0" max="5" min="4" style="1" width="15"/>
  </cols>
  <sheetData>
    <row r="1" customFormat="false" ht="17.25" hidden="false" customHeight="true" outlineLevel="0" collapsed="false">
      <c r="A1" s="2" t="s">
        <v>129</v>
      </c>
    </row>
    <row r="3" customFormat="false" ht="15" hidden="false" customHeight="true" outlineLevel="0" collapsed="false">
      <c r="A3" s="7" t="s">
        <v>130</v>
      </c>
    </row>
    <row r="5" customFormat="false" ht="15" hidden="false" customHeight="true" outlineLevel="0" collapsed="false">
      <c r="A5" s="6" t="s">
        <v>131</v>
      </c>
      <c r="B5" s="6" t="s">
        <v>132</v>
      </c>
      <c r="C5" s="6" t="s">
        <v>133</v>
      </c>
      <c r="D5" s="6" t="s">
        <v>134</v>
      </c>
      <c r="E5" s="6" t="s">
        <v>135</v>
      </c>
    </row>
    <row r="6" customFormat="false" ht="60" hidden="false" customHeight="true" outlineLevel="0" collapsed="false">
      <c r="A6" s="9" t="s">
        <v>136</v>
      </c>
      <c r="B6" s="9" t="s">
        <v>137</v>
      </c>
      <c r="C6" s="9" t="s">
        <v>138</v>
      </c>
      <c r="D6" s="9" t="s">
        <v>139</v>
      </c>
      <c r="E6" s="9" t="s">
        <v>140</v>
      </c>
    </row>
    <row r="7" customFormat="false" ht="60" hidden="false" customHeight="true" outlineLevel="0" collapsed="false">
      <c r="A7" s="9" t="s">
        <v>141</v>
      </c>
      <c r="B7" s="9" t="s">
        <v>142</v>
      </c>
      <c r="C7" s="9" t="s">
        <v>143</v>
      </c>
      <c r="D7" s="9" t="s">
        <v>139</v>
      </c>
      <c r="E7" s="9" t="s">
        <v>144</v>
      </c>
    </row>
    <row r="8" customFormat="false" ht="60" hidden="false" customHeight="true" outlineLevel="0" collapsed="false">
      <c r="A8" s="9" t="s">
        <v>145</v>
      </c>
      <c r="B8" s="9" t="s">
        <v>146</v>
      </c>
      <c r="C8" s="9" t="s">
        <v>147</v>
      </c>
      <c r="D8" s="9" t="s">
        <v>139</v>
      </c>
      <c r="E8" s="9" t="s">
        <v>144</v>
      </c>
    </row>
    <row r="9" customFormat="false" ht="60" hidden="false" customHeight="true" outlineLevel="0" collapsed="false">
      <c r="A9" s="9" t="s">
        <v>148</v>
      </c>
      <c r="B9" s="9" t="s">
        <v>149</v>
      </c>
      <c r="C9" s="9" t="s">
        <v>150</v>
      </c>
      <c r="D9" s="9" t="s">
        <v>151</v>
      </c>
      <c r="E9" s="9" t="s">
        <v>152</v>
      </c>
    </row>
    <row r="10" customFormat="false" ht="60" hidden="false" customHeight="true" outlineLevel="0" collapsed="false">
      <c r="A10" s="9" t="s">
        <v>153</v>
      </c>
      <c r="B10" s="9" t="s">
        <v>154</v>
      </c>
      <c r="C10" s="9" t="s">
        <v>155</v>
      </c>
      <c r="D10" s="9" t="s">
        <v>151</v>
      </c>
      <c r="E10" s="9" t="s">
        <v>144</v>
      </c>
    </row>
    <row r="11" customFormat="false" ht="60" hidden="false" customHeight="true" outlineLevel="0" collapsed="false">
      <c r="A11" s="9" t="s">
        <v>156</v>
      </c>
      <c r="B11" s="9" t="s">
        <v>157</v>
      </c>
      <c r="C11" s="9" t="s">
        <v>158</v>
      </c>
      <c r="D11" s="9" t="s">
        <v>139</v>
      </c>
      <c r="E11" s="9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2026-02-15T08:24:47Z</dcterms:created>
  <dc:creator>openpyxl</dc:creator>
  <dc:description/>
  <dc:language>en-US</dc:language>
  <cp:lastModifiedBy/>
  <dcterms:modified xsi:type="dcterms:W3CDTF">2026-02-15T08:25:06Z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